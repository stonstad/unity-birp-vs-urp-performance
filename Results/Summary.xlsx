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\unity-birp-vs-urp-performance\Results\"/>
    </mc:Choice>
  </mc:AlternateContent>
  <xr:revisionPtr revIDLastSave="0" documentId="13_ncr:1_{12336A37-C177-47B0-A778-6CED643F60F7}" xr6:coauthVersionLast="47" xr6:coauthVersionMax="47" xr10:uidLastSave="{00000000-0000-0000-0000-000000000000}"/>
  <bookViews>
    <workbookView xWindow="24910" yWindow="0" windowWidth="25780" windowHeight="20970" xr2:uid="{063CB107-2C1C-4A1E-A4C3-451830282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U6" i="1" s="1"/>
  <c r="T5" i="1"/>
  <c r="T4" i="1"/>
  <c r="T3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  <c r="L10" i="1"/>
  <c r="L9" i="1"/>
  <c r="L8" i="1"/>
  <c r="L7" i="1"/>
  <c r="L6" i="1"/>
  <c r="L5" i="1"/>
  <c r="L4" i="1"/>
  <c r="L3" i="1"/>
  <c r="U4" i="1" l="1"/>
</calcChain>
</file>

<file path=xl/sharedStrings.xml><?xml version="1.0" encoding="utf-8"?>
<sst xmlns="http://schemas.openxmlformats.org/spreadsheetml/2006/main" count="47" uniqueCount="20">
  <si>
    <t>GTX 1650</t>
  </si>
  <si>
    <t>GPU</t>
  </si>
  <si>
    <t>DX</t>
  </si>
  <si>
    <t>FPS</t>
  </si>
  <si>
    <t>Pipeline</t>
  </si>
  <si>
    <t>BIRP</t>
  </si>
  <si>
    <t>URP</t>
  </si>
  <si>
    <t>RTX 4090</t>
  </si>
  <si>
    <t>Frame</t>
  </si>
  <si>
    <t>Test</t>
  </si>
  <si>
    <t>CPU</t>
  </si>
  <si>
    <t>DX11</t>
  </si>
  <si>
    <t>DX12</t>
  </si>
  <si>
    <t>GTX 1650 DX11 BIRP</t>
  </si>
  <si>
    <t>GTX 1650 DX12 URP</t>
  </si>
  <si>
    <t>RTX 4090 DX11 BIRP</t>
  </si>
  <si>
    <t>RTX 4090 DX12 URP</t>
  </si>
  <si>
    <t>% Change</t>
  </si>
  <si>
    <t>Fastest vs Slowest</t>
  </si>
  <si>
    <t>Build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</si>
</sst>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9" fontId="0" fillId="0" borderId="1" xfId="0" applyNumberFormat="1" applyBorder="1"/>
    <xf numFmtId="0" fontId="1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Low-End Graphics - CPU Frame Time (ms)</a:t>
            </a:r>
          </a:p>
          <a:p>
            <a:pPr>
              <a:defRPr/>
            </a:pPr>
            <a:r>
              <a:rPr lang="en-US" baseline="0"/>
              <a:t>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57-4F42-9222-F063B02C761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41-4E91-9E7D-15E090A837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41-4E91-9E7D-15E090A83700}"/>
              </c:ext>
            </c:extLst>
          </c:dPt>
          <c:cat>
            <c:strRef>
              <c:f>Sheet1!$L$3:$L$6</c:f>
              <c:strCache>
                <c:ptCount val="4"/>
                <c:pt idx="0">
                  <c:v>GTX 1650 DX11 BIRP</c:v>
                </c:pt>
                <c:pt idx="1">
                  <c:v>GTX 1650 DX12 BIRP</c:v>
                </c:pt>
                <c:pt idx="2">
                  <c:v>GTX 1650 DX11 URP</c:v>
                </c:pt>
                <c:pt idx="3">
                  <c:v>GTX 1650 DX12 URP</c:v>
                </c:pt>
              </c:strCache>
            </c:strRef>
          </c:cat>
          <c:val>
            <c:numRef>
              <c:f>Sheet1!$M$3:$M$6</c:f>
              <c:numCache>
                <c:formatCode>General</c:formatCode>
                <c:ptCount val="4"/>
                <c:pt idx="0">
                  <c:v>8.67</c:v>
                </c:pt>
                <c:pt idx="1">
                  <c:v>9.65</c:v>
                </c:pt>
                <c:pt idx="2">
                  <c:v>8.41</c:v>
                </c:pt>
                <c:pt idx="3">
                  <c:v>11.43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7-4F42-9222-F063B02C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1871"/>
        <c:axId val="3824271"/>
      </c:barChart>
      <c:catAx>
        <c:axId val="38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271"/>
        <c:crosses val="autoZero"/>
        <c:auto val="1"/>
        <c:lblAlgn val="ctr"/>
        <c:lblOffset val="100"/>
        <c:noMultiLvlLbl val="0"/>
      </c:catAx>
      <c:valAx>
        <c:axId val="382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Low-End Graphics</a:t>
            </a:r>
            <a:r>
              <a:rPr lang="en-US" b="1" baseline="0"/>
              <a:t> - GPU Frame Time (ms)</a:t>
            </a:r>
          </a:p>
          <a:p>
            <a:pPr>
              <a:defRPr/>
            </a:pPr>
            <a:r>
              <a:rPr lang="en-US" baseline="0"/>
              <a:t>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GPU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D-45CF-81B1-B06B469664C6}"/>
              </c:ext>
            </c:extLst>
          </c:dPt>
          <c:cat>
            <c:strRef>
              <c:f>Sheet1!$L$3:$L$6</c:f>
              <c:strCache>
                <c:ptCount val="4"/>
                <c:pt idx="0">
                  <c:v>GTX 1650 DX11 BIRP</c:v>
                </c:pt>
                <c:pt idx="1">
                  <c:v>GTX 1650 DX12 BIRP</c:v>
                </c:pt>
                <c:pt idx="2">
                  <c:v>GTX 1650 DX11 URP</c:v>
                </c:pt>
                <c:pt idx="3">
                  <c:v>GTX 1650 DX12 URP</c:v>
                </c:pt>
              </c:strCache>
            </c:strRef>
          </c:cat>
          <c:val>
            <c:numRef>
              <c:f>Sheet1!$N$3:$N$6</c:f>
              <c:numCache>
                <c:formatCode>General</c:formatCode>
                <c:ptCount val="4"/>
                <c:pt idx="0">
                  <c:v>5.57</c:v>
                </c:pt>
                <c:pt idx="1">
                  <c:v>6.65</c:v>
                </c:pt>
                <c:pt idx="2">
                  <c:v>4.42</c:v>
                </c:pt>
                <c:pt idx="3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D-45CF-81B1-B06B46966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7199"/>
        <c:axId val="3698639"/>
      </c:barChart>
      <c:catAx>
        <c:axId val="369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39"/>
        <c:crosses val="autoZero"/>
        <c:auto val="1"/>
        <c:lblAlgn val="ctr"/>
        <c:lblOffset val="100"/>
        <c:noMultiLvlLbl val="0"/>
      </c:catAx>
      <c:valAx>
        <c:axId val="369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Low-End Graphics - Frame Rate (fps</a:t>
            </a:r>
            <a:r>
              <a:rPr lang="en-US" b="1" baseline="0"/>
              <a:t>) </a:t>
            </a:r>
          </a:p>
          <a:p>
            <a:pPr>
              <a:defRPr/>
            </a:pPr>
            <a:r>
              <a:rPr lang="en-US"/>
              <a:t>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4D-44D7-B016-AC3468EBAAD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6C-4138-BE77-E07B0BEA9419}"/>
              </c:ext>
            </c:extLst>
          </c:dPt>
          <c:cat>
            <c:strRef>
              <c:f>Sheet1!$L$3:$L$6</c:f>
              <c:strCache>
                <c:ptCount val="4"/>
                <c:pt idx="0">
                  <c:v>GTX 1650 DX11 BIRP</c:v>
                </c:pt>
                <c:pt idx="1">
                  <c:v>GTX 1650 DX12 BIRP</c:v>
                </c:pt>
                <c:pt idx="2">
                  <c:v>GTX 1650 DX11 URP</c:v>
                </c:pt>
                <c:pt idx="3">
                  <c:v>GTX 1650 DX12 URP</c:v>
                </c:pt>
              </c:strCache>
            </c:strRef>
          </c:cat>
          <c:val>
            <c:numRef>
              <c:f>Sheet1!$P$3:$P$6</c:f>
              <c:numCache>
                <c:formatCode>General</c:formatCode>
                <c:ptCount val="4"/>
                <c:pt idx="0">
                  <c:v>114</c:v>
                </c:pt>
                <c:pt idx="1">
                  <c:v>103.5</c:v>
                </c:pt>
                <c:pt idx="2">
                  <c:v>117.2</c:v>
                </c:pt>
                <c:pt idx="3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D-44D7-B016-AC3468EBA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012879"/>
        <c:axId val="271067551"/>
      </c:barChart>
      <c:catAx>
        <c:axId val="2830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67551"/>
        <c:crosses val="autoZero"/>
        <c:auto val="1"/>
        <c:lblAlgn val="ctr"/>
        <c:lblOffset val="100"/>
        <c:noMultiLvlLbl val="0"/>
      </c:catAx>
      <c:valAx>
        <c:axId val="2710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1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High-End Graphics</a:t>
            </a:r>
            <a:r>
              <a:rPr lang="en-US" b="1" baseline="0"/>
              <a:t> - CPU Frame Time (ms)</a:t>
            </a:r>
          </a:p>
          <a:p>
            <a:pPr>
              <a:defRPr/>
            </a:pPr>
            <a:r>
              <a:rPr lang="en-US" baseline="0"/>
              <a:t>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B-47E5-967D-01F4744CFB86}"/>
              </c:ext>
            </c:extLst>
          </c:dPt>
          <c:cat>
            <c:strRef>
              <c:f>Sheet1!$L$7:$L$10</c:f>
              <c:strCache>
                <c:ptCount val="4"/>
                <c:pt idx="0">
                  <c:v>RTX 4090 DX11 BIRP</c:v>
                </c:pt>
                <c:pt idx="1">
                  <c:v>RTX 4090 DX12 BIRP</c:v>
                </c:pt>
                <c:pt idx="2">
                  <c:v>RTX 4090 DX11 URP</c:v>
                </c:pt>
                <c:pt idx="3">
                  <c:v>RTX 4090 DX12 URP</c:v>
                </c:pt>
              </c:strCache>
            </c:strRef>
          </c:cat>
          <c:val>
            <c:numRef>
              <c:f>Sheet1!$M$7:$M$10</c:f>
              <c:numCache>
                <c:formatCode>General</c:formatCode>
                <c:ptCount val="4"/>
                <c:pt idx="0">
                  <c:v>0.78</c:v>
                </c:pt>
                <c:pt idx="1">
                  <c:v>1.1599999999999999</c:v>
                </c:pt>
                <c:pt idx="2">
                  <c:v>0.92</c:v>
                </c:pt>
                <c:pt idx="3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B-47E5-967D-01F4744CF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40783"/>
        <c:axId val="36641743"/>
      </c:barChart>
      <c:catAx>
        <c:axId val="3664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1743"/>
        <c:crosses val="autoZero"/>
        <c:auto val="1"/>
        <c:lblAlgn val="ctr"/>
        <c:lblOffset val="100"/>
        <c:noMultiLvlLbl val="0"/>
      </c:catAx>
      <c:valAx>
        <c:axId val="366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High-End Graphics - GPU Frame Time (ms)</a:t>
            </a:r>
          </a:p>
          <a:p>
            <a:pPr>
              <a:defRPr/>
            </a:pPr>
            <a:r>
              <a:rPr lang="en-US"/>
              <a:t>(Lower</a:t>
            </a:r>
            <a:r>
              <a:rPr lang="en-US" baseline="0"/>
              <a:t>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8E-4F9B-A5AD-B7018EE3A26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0F-4335-A212-E31D73E00D61}"/>
              </c:ext>
            </c:extLst>
          </c:dPt>
          <c:cat>
            <c:strRef>
              <c:f>Sheet1!$L$7:$L$10</c:f>
              <c:strCache>
                <c:ptCount val="4"/>
                <c:pt idx="0">
                  <c:v>RTX 4090 DX11 BIRP</c:v>
                </c:pt>
                <c:pt idx="1">
                  <c:v>RTX 4090 DX12 BIRP</c:v>
                </c:pt>
                <c:pt idx="2">
                  <c:v>RTX 4090 DX11 URP</c:v>
                </c:pt>
                <c:pt idx="3">
                  <c:v>RTX 4090 DX12 URP</c:v>
                </c:pt>
              </c:strCache>
            </c:strRef>
          </c:cat>
          <c:val>
            <c:numRef>
              <c:f>Sheet1!$N$7:$N$10</c:f>
              <c:numCache>
                <c:formatCode>General</c:formatCode>
                <c:ptCount val="4"/>
                <c:pt idx="0">
                  <c:v>0.76</c:v>
                </c:pt>
                <c:pt idx="1">
                  <c:v>0.94</c:v>
                </c:pt>
                <c:pt idx="2">
                  <c:v>0.64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E-4F9B-A5AD-B7018EE3A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774367"/>
        <c:axId val="1909770527"/>
      </c:barChart>
      <c:catAx>
        <c:axId val="19097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70527"/>
        <c:crosses val="autoZero"/>
        <c:auto val="1"/>
        <c:lblAlgn val="ctr"/>
        <c:lblOffset val="100"/>
        <c:noMultiLvlLbl val="0"/>
      </c:catAx>
      <c:valAx>
        <c:axId val="19097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7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High-End Graphics</a:t>
            </a:r>
            <a:r>
              <a:rPr lang="en-US" b="1" baseline="0"/>
              <a:t> - Frame Rate (fps)</a:t>
            </a:r>
          </a:p>
          <a:p>
            <a:pPr>
              <a:defRPr/>
            </a:pPr>
            <a:r>
              <a:rPr lang="en-US" baseline="0"/>
              <a:t>(Higher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49-4B1E-931F-B8D8AD621749}"/>
              </c:ext>
            </c:extLst>
          </c:dPt>
          <c:cat>
            <c:strRef>
              <c:f>Sheet1!$L$7:$L$10</c:f>
              <c:strCache>
                <c:ptCount val="4"/>
                <c:pt idx="0">
                  <c:v>RTX 4090 DX11 BIRP</c:v>
                </c:pt>
                <c:pt idx="1">
                  <c:v>RTX 4090 DX12 BIRP</c:v>
                </c:pt>
                <c:pt idx="2">
                  <c:v>RTX 4090 DX11 URP</c:v>
                </c:pt>
                <c:pt idx="3">
                  <c:v>RTX 4090 DX12 URP</c:v>
                </c:pt>
              </c:strCache>
            </c:strRef>
          </c:cat>
          <c:val>
            <c:numRef>
              <c:f>Sheet1!$P$7:$P$10</c:f>
              <c:numCache>
                <c:formatCode>General</c:formatCode>
                <c:ptCount val="4"/>
                <c:pt idx="0">
                  <c:v>1268.9000000000001</c:v>
                </c:pt>
                <c:pt idx="1">
                  <c:v>863</c:v>
                </c:pt>
                <c:pt idx="2">
                  <c:v>1028.7</c:v>
                </c:pt>
                <c:pt idx="3">
                  <c:v>723.1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9-4B1E-931F-B8D8AD621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949311"/>
        <c:axId val="332950271"/>
      </c:barChart>
      <c:catAx>
        <c:axId val="33294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50271"/>
        <c:crosses val="autoZero"/>
        <c:auto val="1"/>
        <c:lblAlgn val="ctr"/>
        <c:lblOffset val="100"/>
        <c:noMultiLvlLbl val="0"/>
      </c:catAx>
      <c:valAx>
        <c:axId val="3329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4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Low-End Graphics - Total Frame Time (ms)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Frame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AB-46A9-B22D-022A5ACFB0F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0E6-4F11-AA65-8C21F84074FC}"/>
              </c:ext>
            </c:extLst>
          </c:dPt>
          <c:cat>
            <c:strRef>
              <c:f>Sheet1!$L$3:$L$6</c:f>
              <c:strCache>
                <c:ptCount val="4"/>
                <c:pt idx="0">
                  <c:v>GTX 1650 DX11 BIRP</c:v>
                </c:pt>
                <c:pt idx="1">
                  <c:v>GTX 1650 DX12 BIRP</c:v>
                </c:pt>
                <c:pt idx="2">
                  <c:v>GTX 1650 DX11 URP</c:v>
                </c:pt>
                <c:pt idx="3">
                  <c:v>GTX 1650 DX12 URP</c:v>
                </c:pt>
              </c:strCache>
            </c:strRef>
          </c:cat>
          <c:val>
            <c:numRef>
              <c:f>Sheet1!$O$3:$O$6</c:f>
              <c:numCache>
                <c:formatCode>General</c:formatCode>
                <c:ptCount val="4"/>
                <c:pt idx="0">
                  <c:v>8.77</c:v>
                </c:pt>
                <c:pt idx="1">
                  <c:v>9.66</c:v>
                </c:pt>
                <c:pt idx="2">
                  <c:v>8.5299999999999994</c:v>
                </c:pt>
                <c:pt idx="3">
                  <c:v>12.14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B-46A9-B22D-022A5ACFB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859871"/>
        <c:axId val="354858431"/>
      </c:barChart>
      <c:catAx>
        <c:axId val="35485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58431"/>
        <c:crosses val="autoZero"/>
        <c:auto val="1"/>
        <c:lblAlgn val="ctr"/>
        <c:lblOffset val="100"/>
        <c:noMultiLvlLbl val="0"/>
      </c:catAx>
      <c:valAx>
        <c:axId val="3548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5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High-End Graphics - Total Frame Time (ms)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B-413D-9AEF-421BA275954A}"/>
              </c:ext>
            </c:extLst>
          </c:dPt>
          <c:cat>
            <c:strRef>
              <c:f>Sheet1!$L$7:$L$10</c:f>
              <c:strCache>
                <c:ptCount val="4"/>
                <c:pt idx="0">
                  <c:v>RTX 4090 DX11 BIRP</c:v>
                </c:pt>
                <c:pt idx="1">
                  <c:v>RTX 4090 DX12 BIRP</c:v>
                </c:pt>
                <c:pt idx="2">
                  <c:v>RTX 4090 DX11 URP</c:v>
                </c:pt>
                <c:pt idx="3">
                  <c:v>RTX 4090 DX12 URP</c:v>
                </c:pt>
              </c:strCache>
            </c:strRef>
          </c:cat>
          <c:val>
            <c:numRef>
              <c:f>Sheet1!$O$7:$O$10</c:f>
              <c:numCache>
                <c:formatCode>General</c:formatCode>
                <c:ptCount val="4"/>
                <c:pt idx="0">
                  <c:v>0.79</c:v>
                </c:pt>
                <c:pt idx="1">
                  <c:v>1.1599999999999999</c:v>
                </c:pt>
                <c:pt idx="2">
                  <c:v>0.97</c:v>
                </c:pt>
                <c:pt idx="3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B-413D-9AEF-421BA275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057071"/>
        <c:axId val="2022058991"/>
      </c:barChart>
      <c:catAx>
        <c:axId val="20220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58991"/>
        <c:crosses val="autoZero"/>
        <c:auto val="1"/>
        <c:lblAlgn val="ctr"/>
        <c:lblOffset val="100"/>
        <c:noMultiLvlLbl val="0"/>
      </c:catAx>
      <c:valAx>
        <c:axId val="20220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5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Build Time (Seconds)</a:t>
            </a:r>
          </a:p>
          <a:p>
            <a:pPr>
              <a:defRPr/>
            </a:pPr>
            <a:r>
              <a:rPr lang="en-US"/>
              <a:t>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Sheet1!$X$2</c:f>
              <c:strCache>
                <c:ptCount val="1"/>
                <c:pt idx="0">
                  <c:v>Build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FD2-9576-17D54D139917}"/>
              </c:ext>
            </c:extLst>
          </c:dPt>
          <c:cat>
            <c:strRef>
              <c:f>Sheet1!$W$3:$W$4</c:f>
              <c:strCache>
                <c:ptCount val="2"/>
                <c:pt idx="0">
                  <c:v>BIRP</c:v>
                </c:pt>
                <c:pt idx="1">
                  <c:v>URP</c:v>
                </c:pt>
              </c:strCache>
            </c:strRef>
          </c:cat>
          <c:val>
            <c:numRef>
              <c:f>Sheet1!$X$3:$X$4</c:f>
              <c:numCache>
                <c:formatCode>General</c:formatCode>
                <c:ptCount val="2"/>
                <c:pt idx="0">
                  <c:v>38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C-4FD2-9576-17D54D139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286847"/>
        <c:axId val="283288767"/>
      </c:barChart>
      <c:catAx>
        <c:axId val="2832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88767"/>
        <c:crosses val="autoZero"/>
        <c:auto val="1"/>
        <c:lblAlgn val="ctr"/>
        <c:lblOffset val="100"/>
        <c:noMultiLvlLbl val="0"/>
      </c:catAx>
      <c:valAx>
        <c:axId val="28328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19050</xdr:rowOff>
    </xdr:from>
    <xdr:to>
      <xdr:col>9</xdr:col>
      <xdr:colOff>190500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0F1B75-3388-E52C-487E-688D34E8F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14</xdr:row>
      <xdr:rowOff>22860</xdr:rowOff>
    </xdr:from>
    <xdr:to>
      <xdr:col>15</xdr:col>
      <xdr:colOff>236220</xdr:colOff>
      <xdr:row>29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2CBAC8-C713-1F40-7F02-E366C2A4A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596900</xdr:colOff>
      <xdr:row>44</xdr:row>
      <xdr:rowOff>146050</xdr:rowOff>
    </xdr:from>
    <xdr:to>
      <xdr:col>9</xdr:col>
      <xdr:colOff>177800</xdr:colOff>
      <xdr:row>59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AB7937-BFFC-04A7-692C-CF1DB0214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29</xdr:row>
      <xdr:rowOff>15240</xdr:rowOff>
    </xdr:from>
    <xdr:to>
      <xdr:col>9</xdr:col>
      <xdr:colOff>190500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C9B57-48F2-0DCD-22E6-967150378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213360</xdr:colOff>
      <xdr:row>29</xdr:row>
      <xdr:rowOff>15240</xdr:rowOff>
    </xdr:from>
    <xdr:to>
      <xdr:col>15</xdr:col>
      <xdr:colOff>236220</xdr:colOff>
      <xdr:row>43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121A14-9C4F-1FC9-E73C-537BDBCEF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203200</xdr:colOff>
      <xdr:row>44</xdr:row>
      <xdr:rowOff>152400</xdr:rowOff>
    </xdr:from>
    <xdr:to>
      <xdr:col>15</xdr:col>
      <xdr:colOff>228600</xdr:colOff>
      <xdr:row>59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C733C0-2D11-FDF6-9AA5-16A521502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266700</xdr:colOff>
      <xdr:row>14</xdr:row>
      <xdr:rowOff>16510</xdr:rowOff>
    </xdr:from>
    <xdr:to>
      <xdr:col>22</xdr:col>
      <xdr:colOff>571500</xdr:colOff>
      <xdr:row>29</xdr:row>
      <xdr:rowOff>2540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3E3B3C-537F-CBDA-7A20-7B759EF60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259080</xdr:colOff>
      <xdr:row>29</xdr:row>
      <xdr:rowOff>22860</xdr:rowOff>
    </xdr:from>
    <xdr:to>
      <xdr:col>22</xdr:col>
      <xdr:colOff>563880</xdr:colOff>
      <xdr:row>44</xdr:row>
      <xdr:rowOff>8890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F299441-AE5B-E6E3-C7DD-371FBF12E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603250</xdr:colOff>
      <xdr:row>60</xdr:row>
      <xdr:rowOff>79375</xdr:rowOff>
    </xdr:from>
    <xdr:to>
      <xdr:col>9</xdr:col>
      <xdr:colOff>184150</xdr:colOff>
      <xdr:row>75</xdr:row>
      <xdr:rowOff>60325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7B8647-FBE4-CB47-CFD2-56204FFC2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4B59-4AA9-40BF-BFD6-4A0C8C616017}">
  <dimension ref="C2:X10"/>
  <sheetViews>
    <sheetView tabSelected="1" workbookViewId="0">
      <selection activeCell="T3" sqref="T3"/>
    </sheetView>
  </sheetViews>
  <sheetFormatPr defaultRowHeight="14.5" x14ac:dyDescent="0.35"/>
  <cols>
    <col min="5" max="5" width="7.26953125" bestFit="1" customWidth="1"/>
    <col min="7" max="7" width="10.26953125" bestFit="1" customWidth="1"/>
    <col min="8" max="8" width="10.26953125" customWidth="1"/>
    <col min="12" max="12" width="21.453125" bestFit="1" customWidth="1"/>
  </cols>
  <sheetData>
    <row r="2" spans="3:24" x14ac:dyDescent="0.35">
      <c r="C2" s="4" t="s">
        <v>1</v>
      </c>
      <c r="D2" s="4" t="s">
        <v>2</v>
      </c>
      <c r="E2" s="4" t="s">
        <v>4</v>
      </c>
      <c r="F2" s="4" t="s">
        <v>10</v>
      </c>
      <c r="G2" s="4" t="s">
        <v>1</v>
      </c>
      <c r="H2" s="4" t="s">
        <v>8</v>
      </c>
      <c r="I2" s="4" t="s">
        <v>3</v>
      </c>
      <c r="L2" s="4" t="s">
        <v>9</v>
      </c>
      <c r="M2" s="4" t="s">
        <v>10</v>
      </c>
      <c r="N2" s="4" t="s">
        <v>1</v>
      </c>
      <c r="O2" s="4" t="s">
        <v>8</v>
      </c>
      <c r="P2" s="4" t="s">
        <v>3</v>
      </c>
      <c r="Q2" s="1"/>
      <c r="R2" s="4" t="s">
        <v>18</v>
      </c>
      <c r="S2" s="5"/>
      <c r="T2" s="4" t="s">
        <v>8</v>
      </c>
      <c r="U2" s="4" t="s">
        <v>17</v>
      </c>
      <c r="W2" s="4" t="s">
        <v>4</v>
      </c>
      <c r="X2" s="4" t="s">
        <v>19</v>
      </c>
    </row>
    <row r="3" spans="3:24" x14ac:dyDescent="0.35">
      <c r="C3" s="2" t="s">
        <v>0</v>
      </c>
      <c r="D3" s="2" t="s">
        <v>11</v>
      </c>
      <c r="E3" s="2" t="s">
        <v>5</v>
      </c>
      <c r="F3" s="2">
        <v>8.67</v>
      </c>
      <c r="G3" s="2">
        <v>5.57</v>
      </c>
      <c r="H3" s="2">
        <v>8.77</v>
      </c>
      <c r="I3" s="2">
        <v>114</v>
      </c>
      <c r="L3" s="2" t="str">
        <f t="shared" ref="L3:L10" si="0">_xlfn.TEXTJOIN(" ", FALSE, C3:E3)</f>
        <v>GTX 1650 DX11 BIRP</v>
      </c>
      <c r="M3" s="2">
        <f>F3</f>
        <v>8.67</v>
      </c>
      <c r="N3" s="2">
        <f>G3</f>
        <v>5.57</v>
      </c>
      <c r="O3" s="2">
        <f>H3</f>
        <v>8.77</v>
      </c>
      <c r="P3" s="2">
        <f>I3</f>
        <v>114</v>
      </c>
      <c r="R3" s="2" t="s">
        <v>13</v>
      </c>
      <c r="S3" s="2"/>
      <c r="T3" s="2">
        <f>H3</f>
        <v>8.77</v>
      </c>
      <c r="U3" s="2"/>
      <c r="W3" s="2" t="s">
        <v>5</v>
      </c>
      <c r="X3" s="2">
        <v>38</v>
      </c>
    </row>
    <row r="4" spans="3:24" x14ac:dyDescent="0.35">
      <c r="C4" s="2" t="s">
        <v>0</v>
      </c>
      <c r="D4" s="2" t="s">
        <v>12</v>
      </c>
      <c r="E4" s="2" t="s">
        <v>5</v>
      </c>
      <c r="F4" s="2">
        <v>9.65</v>
      </c>
      <c r="G4" s="2">
        <v>6.65</v>
      </c>
      <c r="H4" s="2">
        <v>9.66</v>
      </c>
      <c r="I4" s="2">
        <v>103.5</v>
      </c>
      <c r="L4" s="2" t="str">
        <f t="shared" si="0"/>
        <v>GTX 1650 DX12 BIRP</v>
      </c>
      <c r="M4" s="2">
        <f t="shared" ref="M4:M10" si="1">F4</f>
        <v>9.65</v>
      </c>
      <c r="N4" s="2">
        <f t="shared" ref="N4:N10" si="2">G4</f>
        <v>6.65</v>
      </c>
      <c r="O4" s="2">
        <f t="shared" ref="O4:O10" si="3">H4</f>
        <v>9.66</v>
      </c>
      <c r="P4" s="2">
        <f t="shared" ref="P4:P10" si="4">I4</f>
        <v>103.5</v>
      </c>
      <c r="R4" s="2" t="s">
        <v>14</v>
      </c>
      <c r="S4" s="2"/>
      <c r="T4" s="2">
        <f>H6</f>
        <v>12.14</v>
      </c>
      <c r="U4" s="3">
        <f>(T4-T3)/T3</f>
        <v>0.38426453819840378</v>
      </c>
      <c r="W4" s="2" t="s">
        <v>6</v>
      </c>
      <c r="X4" s="2">
        <v>144</v>
      </c>
    </row>
    <row r="5" spans="3:24" x14ac:dyDescent="0.35">
      <c r="C5" s="2" t="s">
        <v>0</v>
      </c>
      <c r="D5" s="2" t="s">
        <v>11</v>
      </c>
      <c r="E5" s="2" t="s">
        <v>6</v>
      </c>
      <c r="F5" s="2">
        <v>8.41</v>
      </c>
      <c r="G5" s="2">
        <v>4.42</v>
      </c>
      <c r="H5" s="2">
        <v>8.5299999999999994</v>
      </c>
      <c r="I5" s="2">
        <v>117.2</v>
      </c>
      <c r="L5" s="2" t="str">
        <f t="shared" si="0"/>
        <v>GTX 1650 DX11 URP</v>
      </c>
      <c r="M5" s="2">
        <f t="shared" si="1"/>
        <v>8.41</v>
      </c>
      <c r="N5" s="2">
        <f t="shared" si="2"/>
        <v>4.42</v>
      </c>
      <c r="O5" s="2">
        <f t="shared" si="3"/>
        <v>8.5299999999999994</v>
      </c>
      <c r="P5" s="2">
        <f t="shared" si="4"/>
        <v>117.2</v>
      </c>
      <c r="R5" s="2" t="s">
        <v>15</v>
      </c>
      <c r="S5" s="2"/>
      <c r="T5" s="2">
        <f>H7</f>
        <v>0.79</v>
      </c>
      <c r="U5" s="2"/>
    </row>
    <row r="6" spans="3:24" x14ac:dyDescent="0.35">
      <c r="C6" s="2" t="s">
        <v>0</v>
      </c>
      <c r="D6" s="2" t="s">
        <v>12</v>
      </c>
      <c r="E6" s="2" t="s">
        <v>6</v>
      </c>
      <c r="F6" s="2">
        <v>11.43</v>
      </c>
      <c r="G6" s="2">
        <v>5.0999999999999996</v>
      </c>
      <c r="H6" s="2">
        <v>12.14</v>
      </c>
      <c r="I6" s="2">
        <v>82.4</v>
      </c>
      <c r="L6" s="2" t="str">
        <f t="shared" si="0"/>
        <v>GTX 1650 DX12 URP</v>
      </c>
      <c r="M6" s="2">
        <f t="shared" si="1"/>
        <v>11.43</v>
      </c>
      <c r="N6" s="2">
        <f t="shared" si="2"/>
        <v>5.0999999999999996</v>
      </c>
      <c r="O6" s="2">
        <f t="shared" si="3"/>
        <v>12.14</v>
      </c>
      <c r="P6" s="2">
        <f t="shared" si="4"/>
        <v>82.4</v>
      </c>
      <c r="R6" s="2" t="s">
        <v>16</v>
      </c>
      <c r="S6" s="2"/>
      <c r="T6" s="2">
        <f>H10</f>
        <v>1.38</v>
      </c>
      <c r="U6" s="3">
        <f>(T6-T5)/T5</f>
        <v>0.74683544303797444</v>
      </c>
    </row>
    <row r="7" spans="3:24" x14ac:dyDescent="0.35">
      <c r="C7" s="2" t="s">
        <v>7</v>
      </c>
      <c r="D7" s="2" t="s">
        <v>11</v>
      </c>
      <c r="E7" s="2" t="s">
        <v>5</v>
      </c>
      <c r="F7" s="2">
        <v>0.78</v>
      </c>
      <c r="G7" s="2">
        <v>0.76</v>
      </c>
      <c r="H7" s="2">
        <v>0.79</v>
      </c>
      <c r="I7" s="2">
        <v>1268.9000000000001</v>
      </c>
      <c r="L7" s="2" t="str">
        <f t="shared" si="0"/>
        <v>RTX 4090 DX11 BIRP</v>
      </c>
      <c r="M7" s="2">
        <f t="shared" si="1"/>
        <v>0.78</v>
      </c>
      <c r="N7" s="2">
        <f t="shared" si="2"/>
        <v>0.76</v>
      </c>
      <c r="O7" s="2">
        <f t="shared" si="3"/>
        <v>0.79</v>
      </c>
      <c r="P7" s="2">
        <f t="shared" si="4"/>
        <v>1268.9000000000001</v>
      </c>
    </row>
    <row r="8" spans="3:24" x14ac:dyDescent="0.35">
      <c r="C8" s="2" t="s">
        <v>7</v>
      </c>
      <c r="D8" s="2" t="s">
        <v>12</v>
      </c>
      <c r="E8" s="2" t="s">
        <v>5</v>
      </c>
      <c r="F8" s="2">
        <v>1.1599999999999999</v>
      </c>
      <c r="G8" s="2">
        <v>0.94</v>
      </c>
      <c r="H8" s="2">
        <v>1.1599999999999999</v>
      </c>
      <c r="I8" s="2">
        <v>863</v>
      </c>
      <c r="L8" s="2" t="str">
        <f t="shared" si="0"/>
        <v>RTX 4090 DX12 BIRP</v>
      </c>
      <c r="M8" s="2">
        <f t="shared" si="1"/>
        <v>1.1599999999999999</v>
      </c>
      <c r="N8" s="2">
        <f t="shared" si="2"/>
        <v>0.94</v>
      </c>
      <c r="O8" s="2">
        <f t="shared" si="3"/>
        <v>1.1599999999999999</v>
      </c>
      <c r="P8" s="2">
        <f t="shared" si="4"/>
        <v>863</v>
      </c>
    </row>
    <row r="9" spans="3:24" x14ac:dyDescent="0.35">
      <c r="C9" s="2" t="s">
        <v>7</v>
      </c>
      <c r="D9" s="2" t="s">
        <v>11</v>
      </c>
      <c r="E9" s="2" t="s">
        <v>6</v>
      </c>
      <c r="F9" s="2">
        <v>0.92</v>
      </c>
      <c r="G9" s="2">
        <v>0.64</v>
      </c>
      <c r="H9" s="2">
        <v>0.97</v>
      </c>
      <c r="I9" s="2">
        <v>1028.7</v>
      </c>
      <c r="L9" s="2" t="str">
        <f t="shared" si="0"/>
        <v>RTX 4090 DX11 URP</v>
      </c>
      <c r="M9" s="2">
        <f t="shared" si="1"/>
        <v>0.92</v>
      </c>
      <c r="N9" s="2">
        <f t="shared" si="2"/>
        <v>0.64</v>
      </c>
      <c r="O9" s="2">
        <f t="shared" si="3"/>
        <v>0.97</v>
      </c>
      <c r="P9" s="2">
        <f t="shared" si="4"/>
        <v>1028.7</v>
      </c>
    </row>
    <row r="10" spans="3:24" x14ac:dyDescent="0.35">
      <c r="C10" s="2" t="s">
        <v>7</v>
      </c>
      <c r="D10" s="2" t="s">
        <v>12</v>
      </c>
      <c r="E10" s="2" t="s">
        <v>6</v>
      </c>
      <c r="F10" s="2">
        <v>1.36</v>
      </c>
      <c r="G10" s="2">
        <v>0.74</v>
      </c>
      <c r="H10" s="2">
        <v>1.38</v>
      </c>
      <c r="I10" s="2">
        <v>723.1</v>
      </c>
      <c r="L10" s="2" t="str">
        <f t="shared" si="0"/>
        <v>RTX 4090 DX12 URP</v>
      </c>
      <c r="M10" s="2">
        <f t="shared" si="1"/>
        <v>1.36</v>
      </c>
      <c r="N10" s="2">
        <f t="shared" si="2"/>
        <v>0.74</v>
      </c>
      <c r="O10" s="2">
        <f t="shared" si="3"/>
        <v>1.38</v>
      </c>
      <c r="P10" s="2">
        <f t="shared" si="4"/>
        <v>723.1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Tonstad</dc:creator>
  <cp:lastModifiedBy>Shaun Tonstad</cp:lastModifiedBy>
  <dcterms:created xsi:type="dcterms:W3CDTF">2026-03-03T14:53:59Z</dcterms:created>
  <dcterms:modified xsi:type="dcterms:W3CDTF">2026-03-04T13:59:26Z</dcterms:modified>
</cp:coreProperties>
</file>